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cho/bin/playground/data/"/>
    </mc:Choice>
  </mc:AlternateContent>
  <xr:revisionPtr revIDLastSave="0" documentId="13_ncr:1_{99790461-D6E9-834C-851A-BA461EA6A487}" xr6:coauthVersionLast="47" xr6:coauthVersionMax="47" xr10:uidLastSave="{00000000-0000-0000-0000-000000000000}"/>
  <bookViews>
    <workbookView xWindow="39340" yWindow="2660" windowWidth="33180" windowHeight="18200" activeTab="1" xr2:uid="{DF15C887-D6F5-D844-AA7A-279C310A40BE}"/>
  </bookViews>
  <sheets>
    <sheet name="Sheet1" sheetId="1" r:id="rId1"/>
    <sheet name="BEEF-vd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I14" i="1"/>
  <c r="O14" i="1"/>
  <c r="O4" i="1"/>
  <c r="O22" i="1"/>
  <c r="O16" i="1"/>
  <c r="O12" i="1"/>
  <c r="O11" i="1"/>
  <c r="O10" i="1"/>
  <c r="O8" i="1"/>
  <c r="O6" i="1"/>
  <c r="O17" i="1"/>
  <c r="O18" i="1"/>
  <c r="O19" i="1"/>
  <c r="O20" i="1"/>
  <c r="O21" i="1"/>
  <c r="O3" i="1"/>
  <c r="O5" i="1"/>
  <c r="O7" i="1"/>
  <c r="O9" i="1"/>
  <c r="O13" i="1"/>
  <c r="O15" i="1"/>
  <c r="O2" i="1"/>
  <c r="V18" i="1"/>
  <c r="W19" i="1"/>
  <c r="V20" i="1"/>
  <c r="V21" i="1"/>
  <c r="T16" i="1"/>
  <c r="U16" i="1" s="1"/>
  <c r="T14" i="1"/>
  <c r="U14" i="1" s="1"/>
  <c r="T12" i="1"/>
  <c r="U12" i="1" s="1"/>
  <c r="T11" i="1"/>
  <c r="U11" i="1" s="1"/>
  <c r="T10" i="1"/>
  <c r="U10" i="1" s="1"/>
  <c r="T8" i="1"/>
  <c r="U8" i="1" s="1"/>
  <c r="T6" i="1"/>
  <c r="U6" i="1" s="1"/>
  <c r="V22" i="1"/>
  <c r="W22" i="1"/>
  <c r="X17" i="1"/>
  <c r="W17" i="1"/>
  <c r="V17" i="1"/>
  <c r="V19" i="1" l="1"/>
  <c r="W21" i="1"/>
  <c r="W20" i="1"/>
  <c r="X19" i="1"/>
  <c r="X18" i="1"/>
  <c r="W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 Cho</author>
  </authors>
  <commentList>
    <comment ref="O1" authorId="0" shapeId="0" xr:uid="{F4DA07CA-54B1-124C-944F-027527B655B6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at 298.15K kJ/mol</t>
        </r>
      </text>
    </comment>
    <comment ref="AA1" authorId="0" shapeId="0" xr:uid="{4DBE73DF-8629-724F-B36D-B07BBF85790E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0 to 298.15K H0 - H0(T)</t>
        </r>
      </text>
    </comment>
    <comment ref="AB1" authorId="0" shapeId="0" xr:uid="{439A4697-719B-1A4C-9D5F-4DE5DC03EFE1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 (298.15K) Cp0
</t>
        </r>
        <r>
          <rPr>
            <b/>
            <sz val="10"/>
            <color rgb="FF000000"/>
            <rFont val="Aptos Narrow"/>
            <scheme val="minor"/>
          </rPr>
          <t>Constant pressure heat capacity of gas</t>
        </r>
      </text>
    </comment>
    <comment ref="AD1" authorId="0" shapeId="0" xr:uid="{B51DAFDA-DBF5-1345-9637-140047A30E22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cn-1
</t>
        </r>
      </text>
    </comment>
    <comment ref="AE1" authorId="0" shapeId="0" xr:uid="{D632FC81-A8F9-5047-A68F-1FB8FE6DFC90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cm-1</t>
        </r>
      </text>
    </comment>
    <comment ref="S6" authorId="0" shapeId="0" xr:uid="{C1F0EF23-095C-4A43-BF80-5CBE0DCDD07C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gas phase: -241.81</t>
        </r>
      </text>
    </comment>
    <comment ref="S8" authorId="0" shapeId="0" xr:uid="{A29C9BF7-80A6-5B40-83C3-C08E7418B41B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gas: -200.92</t>
        </r>
      </text>
    </comment>
    <comment ref="S10" authorId="0" shapeId="0" xr:uid="{52A278FC-0D13-9444-82B9-60C3D49A9016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gas: 378.35</t>
        </r>
      </text>
    </comment>
    <comment ref="S11" authorId="0" shapeId="0" xr:uid="{0D599607-DB7E-5E43-A1DD-3FE93A1F652F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gas:-235.03</t>
        </r>
      </text>
    </comment>
    <comment ref="Q12" authorId="0" shapeId="0" xr:uid="{E3F3CB9D-9E92-F14D-A0F7-D43673004C72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liquid: -365.9</t>
        </r>
      </text>
    </comment>
    <comment ref="S12" authorId="0" shapeId="0" xr:uid="{E196EF16-E3C5-1243-8CE4-370FD2B75A3F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liquid: -388.59</t>
        </r>
      </text>
    </comment>
    <comment ref="Q19" authorId="0" shapeId="0" xr:uid="{923828BD-2150-454C-9342-B9E5CE1D5DD8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liquid: -510.8</t>
        </r>
      </text>
    </comment>
    <comment ref="S19" authorId="0" shapeId="0" xr:uid="{FDC01E09-2128-FA46-9F11-1323CCFD2F80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liquid: -509.51</t>
        </r>
      </text>
    </comment>
    <comment ref="Q20" authorId="0" shapeId="0" xr:uid="{205264B3-B456-8542-9E05-A46B5A35F4FC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liquid:-445.89</t>
        </r>
      </text>
    </comment>
    <comment ref="S20" authorId="0" shapeId="0" xr:uid="{9D33D680-BC3F-BB4D-9DB9-F1B611C24A97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liquid:-445.66</t>
        </r>
      </text>
    </comment>
    <comment ref="S22" authorId="0" shapeId="0" xr:uid="{B4134AFB-92F9-294F-BA94-A78E775B5F7D}">
      <text>
        <r>
          <rPr>
            <b/>
            <sz val="10"/>
            <color rgb="FF000000"/>
            <rFont val="Tahoma"/>
            <family val="2"/>
          </rPr>
          <t>Ara Cho: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gas:-165.53</t>
        </r>
      </text>
    </comment>
  </commentList>
</comments>
</file>

<file path=xl/sharedStrings.xml><?xml version="1.0" encoding="utf-8"?>
<sst xmlns="http://schemas.openxmlformats.org/spreadsheetml/2006/main" count="390" uniqueCount="121">
  <si>
    <t>surface_name</t>
  </si>
  <si>
    <t>site_name</t>
  </si>
  <si>
    <t>species_name</t>
  </si>
  <si>
    <t>raw_energy</t>
  </si>
  <si>
    <t>frequencies</t>
  </si>
  <si>
    <t>None</t>
  </si>
  <si>
    <t>gas</t>
  </si>
  <si>
    <t>CH4</t>
  </si>
  <si>
    <t>[54.65811394834241, 71.6372154480809, 85.06283160737877, 1327.3054904290536, 1328.4584700514204, 1330.725557378928, 1546.1307637645953, 1546.4533780416284, 2979.8141033611164, 3111.764502893397, 3113.058224727733, 3116.85996923169]</t>
  </si>
  <si>
    <t>C2H4</t>
  </si>
  <si>
    <t>[49.41703231529869, 70.78991483142337, 820.0492350455348, 956.4753233034468, 958.5448673384166, 1050.9066621859229, 1226.315241624117, 1317.362892392438, 1464.0581175413233, 1671.0913540164495, 3104.9526507638507, 3122.0929821438303, 3180.899436849776, 3205.8969152536274]</t>
  </si>
  <si>
    <t>H2</t>
  </si>
  <si>
    <t>[6.609732955609958, 7.412936415532567, 4446.039345148636]</t>
  </si>
  <si>
    <t>H2O</t>
  </si>
  <si>
    <t>[22.43683850004124, 27.718975767750454, 75.56705373169147, 1614.4317958176293, 3736.912140852198, 3847.907685997248]</t>
  </si>
  <si>
    <t>CO</t>
  </si>
  <si>
    <t>[32.93438874898954, 48.6634935472618, 2150.493326661877]</t>
  </si>
  <si>
    <t>CH3OH</t>
  </si>
  <si>
    <t>[60.169396972556065, 90.96244559810665, 299.53192668342996, 969.8747486422566, 1066.1108726328735, 1151.1086828165053, 1355.1437359492088, 1453.6632338649886, 1479.971783766138, 1492.383086779594, 2926.3024941171907, 3014.9784547818863, 3093.6944973008594, 3758.187291134765]</t>
  </si>
  <si>
    <t>CO2</t>
  </si>
  <si>
    <t>[187.1011979905889, 187.62471159405902, 649.6814921172621, 651.2520437675124, 1339.3367542566375, 2365.1350704049096]</t>
  </si>
  <si>
    <t>HCOOH</t>
  </si>
  <si>
    <t>[43.72567741299433, 64.68486112690252, 104.909261444243, 632.6407482270284, 675.3854520913451, 1019.7383982191781, 1089.3353610708702, 1279.444640412234, 1378.1782681275033, 1773.144654523929, 3018.413119536722, 3650.593736371482]</t>
  </si>
  <si>
    <t>dft_code</t>
  </si>
  <si>
    <t>dft_functional</t>
  </si>
  <si>
    <t>QE-5.1</t>
  </si>
  <si>
    <t>BEEF-vdw</t>
  </si>
  <si>
    <t>Hfg_0K</t>
  </si>
  <si>
    <t>Integrated_Heat_Capacity</t>
  </si>
  <si>
    <t>Heat Capacity</t>
  </si>
  <si>
    <t>Vibrational levels</t>
  </si>
  <si>
    <t>ZPE</t>
  </si>
  <si>
    <t>[2917,1534,3019, 1306]</t>
  </si>
  <si>
    <t>[3026, 1623, 1342, 1023, 2989, 1444, 940, 3105, 826, 3086, 1217, 949]</t>
  </si>
  <si>
    <t>[19.16223855880492, 39.39699773045001, 80.7493441041679, 230.40176702577756, 276.82821036280734, 415.83593586496437, 815.8182454077607, 886.0925473590241, 1015.5584769712523, 1071.0023502728936, 1159.6328627514945, 1248.6221158915955, 1278.0392710599447, 1386.2287037596614, 1421.8553251865635, 1468.4137886347255, 1486.1781170659622, 1511.6299505023646, 2961.104278295827, 2977.0891530048984, 3011.5212258762035, 3084.6254646207585, 3088.7119866348044, 3764.5850641704506]</t>
  </si>
  <si>
    <t>CH3CH2OH</t>
  </si>
  <si>
    <t>HCOOCH3</t>
  </si>
  <si>
    <t>[26.146180965411986, 105.54794541251422, 138.3505710443771, 170.8311958421624, 337.82563061845224, 346.83541284345154, 754.0597457997819, 884.0821241360948, 1001.3319064342463, 1140.076576890216, 1153.5433735553636, 1194.710341315031, 1374.9438316966853, 1450.1933434343036, 1469.3854895771042, 1483.0850254900965, 1748.6950820315562, 3006.350103636767, 3035.458359208873, 3107.6704614791042, 3144.2583733677416]</t>
  </si>
  <si>
    <t>C3H8</t>
  </si>
  <si>
    <t>[22.377130498493248, 46.74568802571033, 55.886179504066575, 233.42695596717985, 282.1026294541341, 371.579199100026, 750.136190308859, 852.6825115624837, 908.6768051055486, 925.0140971042673, 1041.932610344778, 1164.7649427100168, 1201.4077877004033, 1301.3044588085736, 1350.4817494309682, 1384.546612009659, 1411.2806043977243, 1475.9059648376679, 1478.0169970281154, 1483.3844099218168, 1494.1872551898327, 1499.062726694757, 2960.038095940023, 2994.9032536807013, 3008.1266960489875, 3012.164925206296, 3052.7949445902245, 3063.7677407427827, 3070.209385305845, 3073.230054020187]</t>
  </si>
  <si>
    <t>CH3COOH</t>
  </si>
  <si>
    <t>[51.21556788453379, 81.159711981158, 96.34484620010751, 434.1310673210029, 536.3319511762229, 588.4740621186336, 658.2430284345314, 842.8390604328073, 973.679287694758, 1047.4581907190409, 1168.2474833875733, 1314.3375625299047, 1388.6827038795884, 1457.6983813381378, 1462.2534418358036, 1762.363998401685, 3054.8109925140066, 3094.3364203496876, 3150.3104819856117, 3673.6553926601528]</t>
  </si>
  <si>
    <t>num_carbonyl</t>
  </si>
  <si>
    <t>ase_name</t>
  </si>
  <si>
    <t>butadiene</t>
  </si>
  <si>
    <t>[23.276370034648394, 49.21703881777091, 181.96563953346563, 295.0997629904559, 525.2266650597717, 526.2244980069634, 765.5456794313972, 881.3045618172856, 912.7329620093373, 914.4070587487228, 980.3550795348016, 992.5391009317676, 1040.1439116573426, 1216.4821694184561, 1295.1108911730096, 1311.6745791190945, 1397.0712677302251, 1461.1030635680106, 1620.2936487736363, 1661.2194271067872, 3083.0935231330586, 3107.9127236986633, 3123.5304183486533, 3130.161456971144, 3206.0734385180544, 3208.205217134158]</t>
  </si>
  <si>
    <t>Formaldehyde</t>
  </si>
  <si>
    <t>CH2O</t>
  </si>
  <si>
    <t>H2CO</t>
  </si>
  <si>
    <t>chemical_name</t>
  </si>
  <si>
    <t>[65.69823780361472, 114.0103452733583, 1174.5132741055477, 1237.6334135920201, 1512.017811864697, 1764.1239069959872, 2866.779258138019, 2896.710146902481]</t>
  </si>
  <si>
    <t>S_NIST_webbook</t>
  </si>
  <si>
    <t>S_JANAF</t>
  </si>
  <si>
    <t>S_CCCBDB</t>
  </si>
  <si>
    <t>liquid</t>
  </si>
  <si>
    <t>Gf_JANAF</t>
  </si>
  <si>
    <t>Formula</t>
  </si>
  <si>
    <t>CH2O2</t>
  </si>
  <si>
    <t>Cp_JANAF</t>
  </si>
  <si>
    <t xml:space="preserve">                       </t>
  </si>
  <si>
    <t>Ethanol</t>
  </si>
  <si>
    <t>Formic_acid</t>
  </si>
  <si>
    <t>SMILES</t>
  </si>
  <si>
    <t>OC=O</t>
  </si>
  <si>
    <t>Propane</t>
  </si>
  <si>
    <t>Methyl formate</t>
  </si>
  <si>
    <t>Acetic Acid</t>
  </si>
  <si>
    <t>C=O</t>
  </si>
  <si>
    <t>CH2CHCHCH2</t>
  </si>
  <si>
    <t>C=CC=C</t>
  </si>
  <si>
    <t>CC(=O)O</t>
  </si>
  <si>
    <t>CCC</t>
  </si>
  <si>
    <t>COC=O</t>
  </si>
  <si>
    <t>CCO</t>
  </si>
  <si>
    <t>C2H6O1</t>
  </si>
  <si>
    <t>Methane</t>
  </si>
  <si>
    <t>Ethane</t>
  </si>
  <si>
    <t>Ethylene</t>
  </si>
  <si>
    <t>C=C</t>
  </si>
  <si>
    <t>C2H6</t>
  </si>
  <si>
    <t>OCHCHO</t>
  </si>
  <si>
    <t>CH3CH2COOH</t>
  </si>
  <si>
    <t>CH3COOCH3</t>
  </si>
  <si>
    <t>CH3OCH3</t>
  </si>
  <si>
    <t>CH3CHO</t>
  </si>
  <si>
    <t>C2H2O2</t>
  </si>
  <si>
    <t>Glyoxal</t>
  </si>
  <si>
    <t>Propanoic Acid</t>
  </si>
  <si>
    <t>CCC(O)=O</t>
  </si>
  <si>
    <t>Methyl acetate</t>
  </si>
  <si>
    <t>Dimethyl Ether</t>
  </si>
  <si>
    <t>Acetaldehyde</t>
  </si>
  <si>
    <t>CC=O</t>
  </si>
  <si>
    <t>COC</t>
  </si>
  <si>
    <t>O=CC=O</t>
  </si>
  <si>
    <t>Carbon dioxide</t>
  </si>
  <si>
    <t>C(=O)=O</t>
  </si>
  <si>
    <t>hydrogen</t>
  </si>
  <si>
    <t>water</t>
  </si>
  <si>
    <t>carbon monoxide</t>
  </si>
  <si>
    <t>methanol</t>
  </si>
  <si>
    <t>Hf_JANAF</t>
  </si>
  <si>
    <t>Hf_NIST_webbook</t>
  </si>
  <si>
    <t>Hf_CCCBDB</t>
  </si>
  <si>
    <t>Hf_ATT</t>
  </si>
  <si>
    <t>Deviation</t>
  </si>
  <si>
    <t>eV</t>
  </si>
  <si>
    <t>Hf_Gas</t>
  </si>
  <si>
    <t>[14.02741592824648, 46.12211049200124, 278.28472014881703, 814.1428343728661, 821.2647726312929, 975.7250968481486, 1207.9799064241513, 1210.6634076070739, 1396.9315714843456, 1405.3763407101521, 1486.4379540679747, 1486.959826467517, 1491.4110115215028, 1491.7810418136148, 2988.944795737229, 3016.0234097857488, 3052.565897101815, 3053.319103305461, 3077.318961713155, 3079.376950422087]</t>
  </si>
  <si>
    <t>C</t>
  </si>
  <si>
    <t>HH</t>
  </si>
  <si>
    <t>O</t>
  </si>
  <si>
    <t>[C-]#[O+]</t>
  </si>
  <si>
    <t>CC</t>
  </si>
  <si>
    <t>CC(=O)OC</t>
  </si>
  <si>
    <t>[14.101643019772101, 41.63651767596271, 78.85805307897006, 133.1891657259806, 218.01414878842107, 255.44158529700408, 462.5059488534383, 516.4701397619091, 596.5889908676875, 652.2152719018851, 786.1127598525894, 803.2883633953458, 989.3875095723237, 1059.3648214244254, 1092.9928096827584, 1129.0913054586792, 1266.0542826370859, 1278.3463060968268, 1370.8703358687305, 1409.8851292319046, 1445.5690795866167, 1482.4778942085575, 1489.996751871741, 1754.9386097582171, 3003.9662082291948, 3035.755244205692, 3041.6404380248036, 3091.5850766448543, 3098.2186991662907, 3663.8126587677957]</t>
  </si>
  <si>
    <t>[20.248286898777884, 39.64182239732646, 104.32303773200842, 313.92444824243705, 533.5028244900765, 785.1537582261602, 1031.5021629220337, 1047.4755858043727, 1314.637984023873, 1355.6832499664374, 1738.777658699079, 1740.4118365102586, 2908.8355543069324, 2913.4216277593823]</t>
  </si>
  <si>
    <t>fugacity</t>
  </si>
  <si>
    <t>H2_ref</t>
  </si>
  <si>
    <t>type</t>
  </si>
  <si>
    <t>correction_energy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</si>
</sst>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rgb="FF000000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2" fontId="2" fillId="0" borderId="0" xfId="0" applyNumberFormat="1" applyFont="1"/>
    <xf numFmtId="2" fontId="2" fillId="2" borderId="0" xfId="0" applyNumberFormat="1" applyFont="1" applyFill="1"/>
    <xf numFmtId="2" fontId="2" fillId="3" borderId="0" xfId="0" applyNumberFormat="1" applyFont="1" applyFill="1"/>
    <xf numFmtId="2" fontId="2" fillId="4" borderId="0" xfId="0" applyNumberFormat="1" applyFont="1" applyFill="1"/>
    <xf numFmtId="2" fontId="2" fillId="5" borderId="0" xfId="0" applyNumberFormat="1" applyFont="1" applyFill="1"/>
    <xf numFmtId="2" fontId="2" fillId="7" borderId="0" xfId="0" applyNumberFormat="1" applyFont="1" applyFill="1"/>
    <xf numFmtId="2" fontId="2" fillId="6" borderId="0" xfId="0" applyNumberFormat="1" applyFont="1" applyFill="1"/>
    <xf numFmtId="0" fontId="2" fillId="6" borderId="0" xfId="0" applyFont="1" applyFill="1"/>
    <xf numFmtId="0" fontId="2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0F79-8C41-0849-8574-6D602A9D4EF9}">
  <dimension ref="A1:AE22"/>
  <sheetViews>
    <sheetView topLeftCell="O1" zoomScale="125" workbookViewId="0">
      <selection activeCell="X13" sqref="X13"/>
    </sheetView>
  </sheetViews>
  <sheetFormatPr baseColWidth="10" defaultRowHeight="16" x14ac:dyDescent="0.2"/>
  <cols>
    <col min="1" max="3" width="10.83203125" style="1"/>
    <col min="4" max="5" width="10.83203125" style="1" hidden="1" customWidth="1"/>
    <col min="6" max="8" width="10.83203125" style="1"/>
    <col min="9" max="13" width="10.83203125" style="1" customWidth="1"/>
    <col min="14" max="14" width="6.1640625" style="1" bestFit="1" customWidth="1"/>
    <col min="15" max="15" width="10.83203125" style="1" customWidth="1"/>
    <col min="16" max="19" width="10.83203125" style="1"/>
    <col min="20" max="21" width="10" style="2" customWidth="1"/>
    <col min="22" max="16384" width="10.83203125" style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43</v>
      </c>
      <c r="E1" s="1" t="s">
        <v>49</v>
      </c>
      <c r="F1" s="1" t="s">
        <v>42</v>
      </c>
      <c r="G1" s="1" t="s">
        <v>62</v>
      </c>
      <c r="H1" s="1" t="s">
        <v>117</v>
      </c>
      <c r="I1" s="1" t="s">
        <v>3</v>
      </c>
      <c r="J1" s="1" t="s">
        <v>4</v>
      </c>
      <c r="K1" s="1" t="s">
        <v>23</v>
      </c>
      <c r="L1" s="1" t="s">
        <v>24</v>
      </c>
      <c r="M1" s="1" t="s">
        <v>56</v>
      </c>
      <c r="N1" s="1" t="s">
        <v>119</v>
      </c>
      <c r="O1" s="1" t="s">
        <v>107</v>
      </c>
      <c r="P1" s="1" t="s">
        <v>101</v>
      </c>
      <c r="Q1" s="1" t="s">
        <v>102</v>
      </c>
      <c r="R1" s="1" t="s">
        <v>103</v>
      </c>
      <c r="S1" s="1" t="s">
        <v>104</v>
      </c>
      <c r="T1" s="2" t="s">
        <v>105</v>
      </c>
      <c r="U1" s="2" t="s">
        <v>106</v>
      </c>
      <c r="V1" s="1" t="s">
        <v>55</v>
      </c>
      <c r="W1" s="1" t="s">
        <v>52</v>
      </c>
      <c r="X1" s="1" t="s">
        <v>51</v>
      </c>
      <c r="Y1" s="1" t="s">
        <v>53</v>
      </c>
      <c r="Z1" s="1" t="s">
        <v>27</v>
      </c>
      <c r="AA1" s="1" t="s">
        <v>28</v>
      </c>
      <c r="AB1" s="1" t="s">
        <v>29</v>
      </c>
      <c r="AC1" s="1" t="s">
        <v>58</v>
      </c>
      <c r="AD1" s="1" t="s">
        <v>30</v>
      </c>
      <c r="AE1" s="1" t="s">
        <v>31</v>
      </c>
    </row>
    <row r="2" spans="1:31" x14ac:dyDescent="0.2">
      <c r="A2" s="1" t="s">
        <v>5</v>
      </c>
      <c r="B2" s="1" t="s">
        <v>6</v>
      </c>
      <c r="C2" s="1" t="s">
        <v>7</v>
      </c>
      <c r="D2" s="1" t="s">
        <v>7</v>
      </c>
      <c r="E2" s="1" t="s">
        <v>75</v>
      </c>
      <c r="F2" s="1">
        <v>0</v>
      </c>
      <c r="G2" s="1" t="s">
        <v>109</v>
      </c>
      <c r="H2" s="1">
        <v>20467</v>
      </c>
      <c r="I2" s="1">
        <v>-231.57632699999999</v>
      </c>
      <c r="J2" s="1" t="s">
        <v>8</v>
      </c>
      <c r="K2" s="1" t="s">
        <v>25</v>
      </c>
      <c r="L2" s="1" t="s">
        <v>26</v>
      </c>
      <c r="M2" s="1" t="s">
        <v>7</v>
      </c>
      <c r="N2" s="1" t="s">
        <v>6</v>
      </c>
      <c r="O2" s="2">
        <f>AVERAGE(Q2:S2)</f>
        <v>-74.662666666666667</v>
      </c>
      <c r="P2" s="2">
        <v>-74.873000000000005</v>
      </c>
      <c r="Q2" s="3">
        <v>-74.87</v>
      </c>
      <c r="R2" s="3">
        <v>-74.599999999999994</v>
      </c>
      <c r="S2" s="3">
        <v>-74.518000000000001</v>
      </c>
      <c r="V2" s="1">
        <v>-74.873000000000005</v>
      </c>
      <c r="W2" s="1">
        <v>-50.768000000000001</v>
      </c>
      <c r="X2" s="1">
        <v>188.66</v>
      </c>
      <c r="Y2" s="1">
        <v>186.37</v>
      </c>
      <c r="Z2" s="1">
        <v>-66.63</v>
      </c>
      <c r="AA2" s="1">
        <v>10.02</v>
      </c>
      <c r="AB2" s="1">
        <v>35.69</v>
      </c>
      <c r="AD2" s="1" t="s">
        <v>32</v>
      </c>
      <c r="AE2" s="1">
        <v>9480</v>
      </c>
    </row>
    <row r="3" spans="1:31" x14ac:dyDescent="0.2">
      <c r="A3" s="1" t="s">
        <v>5</v>
      </c>
      <c r="B3" s="1" t="s">
        <v>6</v>
      </c>
      <c r="C3" s="1" t="s">
        <v>9</v>
      </c>
      <c r="D3" s="1" t="s">
        <v>9</v>
      </c>
      <c r="E3" s="1" t="s">
        <v>77</v>
      </c>
      <c r="F3" s="1">
        <v>0</v>
      </c>
      <c r="G3" s="1" t="s">
        <v>78</v>
      </c>
      <c r="H3" s="1">
        <v>13942</v>
      </c>
      <c r="I3" s="1">
        <v>-394.99043399999999</v>
      </c>
      <c r="J3" s="1" t="s">
        <v>10</v>
      </c>
      <c r="K3" s="1" t="s">
        <v>25</v>
      </c>
      <c r="L3" s="1" t="s">
        <v>26</v>
      </c>
      <c r="M3" s="1" t="s">
        <v>9</v>
      </c>
      <c r="N3" s="1" t="s">
        <v>6</v>
      </c>
      <c r="O3" s="2">
        <f t="shared" ref="O3:O21" si="0">AVERAGE(Q3:S3)</f>
        <v>52.393333333333338</v>
      </c>
      <c r="P3" s="2">
        <v>52.466999999999999</v>
      </c>
      <c r="Q3" s="3">
        <v>52.4</v>
      </c>
      <c r="R3" s="3">
        <v>52.4</v>
      </c>
      <c r="S3" s="3">
        <v>52.38</v>
      </c>
      <c r="V3" s="1">
        <v>68.421000000000006</v>
      </c>
      <c r="W3" s="1">
        <v>219.33</v>
      </c>
      <c r="X3" s="1">
        <v>219.32</v>
      </c>
      <c r="Y3" s="1">
        <v>219.32</v>
      </c>
      <c r="Z3" s="1">
        <v>60.99</v>
      </c>
      <c r="AA3" s="1">
        <v>10.52</v>
      </c>
      <c r="AB3" s="1">
        <v>42.88</v>
      </c>
      <c r="AD3" s="1" t="s">
        <v>33</v>
      </c>
      <c r="AE3" s="1">
        <v>10784.7</v>
      </c>
    </row>
    <row r="4" spans="1:31" x14ac:dyDescent="0.2">
      <c r="A4" s="1" t="s">
        <v>5</v>
      </c>
      <c r="B4" s="1" t="s">
        <v>6</v>
      </c>
      <c r="C4" s="1" t="s">
        <v>11</v>
      </c>
      <c r="D4" s="1" t="s">
        <v>11</v>
      </c>
      <c r="E4" s="1" t="s">
        <v>97</v>
      </c>
      <c r="F4" s="1">
        <v>0</v>
      </c>
      <c r="G4" s="1" t="s">
        <v>110</v>
      </c>
      <c r="H4" s="1">
        <v>30296</v>
      </c>
      <c r="I4" s="1">
        <v>-32.942253628660097</v>
      </c>
      <c r="J4" s="1" t="s">
        <v>12</v>
      </c>
      <c r="K4" s="1" t="s">
        <v>25</v>
      </c>
      <c r="L4" s="1" t="s">
        <v>26</v>
      </c>
      <c r="M4" s="1" t="s">
        <v>11</v>
      </c>
      <c r="N4" s="1" t="s">
        <v>6</v>
      </c>
      <c r="O4" s="2">
        <f t="shared" ref="O4" si="1">AVERAGE(Q4:S4)</f>
        <v>0</v>
      </c>
      <c r="P4" s="2">
        <v>0</v>
      </c>
      <c r="Q4" s="3">
        <v>0</v>
      </c>
      <c r="R4" s="3">
        <v>0</v>
      </c>
      <c r="S4" s="3">
        <v>0</v>
      </c>
      <c r="V4" s="1">
        <v>0</v>
      </c>
      <c r="W4" s="1">
        <v>130.68</v>
      </c>
      <c r="X4" s="1">
        <v>130.68</v>
      </c>
      <c r="Y4" s="1">
        <v>130.68</v>
      </c>
      <c r="Z4" s="1">
        <v>0</v>
      </c>
      <c r="AA4" s="1">
        <v>8.4700000000000006</v>
      </c>
      <c r="AB4" s="1">
        <v>28.84</v>
      </c>
    </row>
    <row r="5" spans="1:31" x14ac:dyDescent="0.2">
      <c r="A5" s="1" t="s">
        <v>5</v>
      </c>
      <c r="B5" s="1" t="s">
        <v>6</v>
      </c>
      <c r="C5" s="1" t="s">
        <v>118</v>
      </c>
      <c r="D5" s="1" t="s">
        <v>11</v>
      </c>
      <c r="E5" s="1" t="s">
        <v>97</v>
      </c>
      <c r="F5" s="1">
        <v>0</v>
      </c>
      <c r="G5" s="1" t="s">
        <v>110</v>
      </c>
      <c r="H5" s="1">
        <v>101325</v>
      </c>
      <c r="I5" s="1">
        <v>-32.942253628660097</v>
      </c>
      <c r="J5" s="1" t="s">
        <v>12</v>
      </c>
      <c r="K5" s="1" t="s">
        <v>25</v>
      </c>
      <c r="L5" s="1" t="s">
        <v>26</v>
      </c>
      <c r="M5" s="1" t="s">
        <v>11</v>
      </c>
      <c r="N5" s="1" t="s">
        <v>6</v>
      </c>
      <c r="O5" s="2">
        <f t="shared" si="0"/>
        <v>0</v>
      </c>
      <c r="P5" s="2">
        <v>0</v>
      </c>
      <c r="Q5" s="3">
        <v>0</v>
      </c>
      <c r="R5" s="3">
        <v>0</v>
      </c>
      <c r="S5" s="3">
        <v>0</v>
      </c>
      <c r="V5" s="1">
        <v>0</v>
      </c>
      <c r="W5" s="1">
        <v>130.68</v>
      </c>
      <c r="X5" s="1">
        <v>130.68</v>
      </c>
      <c r="Y5" s="1">
        <v>130.68</v>
      </c>
      <c r="Z5" s="1">
        <v>0</v>
      </c>
      <c r="AA5" s="1">
        <v>8.4700000000000006</v>
      </c>
      <c r="AB5" s="1">
        <v>28.84</v>
      </c>
    </row>
    <row r="6" spans="1:31" x14ac:dyDescent="0.2">
      <c r="A6" s="1" t="s">
        <v>5</v>
      </c>
      <c r="B6" s="1" t="s">
        <v>6</v>
      </c>
      <c r="C6" s="1" t="s">
        <v>13</v>
      </c>
      <c r="D6" s="1" t="s">
        <v>13</v>
      </c>
      <c r="E6" s="1" t="s">
        <v>98</v>
      </c>
      <c r="F6" s="1">
        <v>0</v>
      </c>
      <c r="G6" s="1" t="s">
        <v>111</v>
      </c>
      <c r="H6" s="1">
        <v>3534</v>
      </c>
      <c r="I6" s="1">
        <v>-496.27026660000001</v>
      </c>
      <c r="J6" s="1" t="s">
        <v>14</v>
      </c>
      <c r="K6" s="1" t="s">
        <v>25</v>
      </c>
      <c r="L6" s="1" t="s">
        <v>26</v>
      </c>
      <c r="M6" s="1" t="s">
        <v>13</v>
      </c>
      <c r="N6" s="1" t="s">
        <v>54</v>
      </c>
      <c r="O6" s="2">
        <f>R6</f>
        <v>-241.81</v>
      </c>
      <c r="P6" s="2">
        <v>-285.83</v>
      </c>
      <c r="Q6" s="4">
        <v>-285.83</v>
      </c>
      <c r="R6" s="5">
        <v>-241.81</v>
      </c>
      <c r="S6" s="4">
        <v>-285.8</v>
      </c>
      <c r="T6" s="2">
        <f>R6-S6</f>
        <v>43.990000000000009</v>
      </c>
      <c r="U6" s="2">
        <f>T6/96.485</f>
        <v>0.45592579157381985</v>
      </c>
      <c r="V6" s="1">
        <v>-237.14099999999999</v>
      </c>
      <c r="W6" s="1">
        <v>69.95</v>
      </c>
      <c r="X6" s="1">
        <v>69.95</v>
      </c>
      <c r="Y6" s="1">
        <v>188.84</v>
      </c>
      <c r="Z6" s="1">
        <v>-238.9</v>
      </c>
      <c r="AA6" s="1">
        <v>9.9</v>
      </c>
      <c r="AB6" s="1">
        <v>33.6</v>
      </c>
      <c r="AC6" s="1">
        <v>75.350999999999999</v>
      </c>
    </row>
    <row r="7" spans="1:31" x14ac:dyDescent="0.2">
      <c r="A7" s="1" t="s">
        <v>5</v>
      </c>
      <c r="B7" s="1" t="s">
        <v>6</v>
      </c>
      <c r="C7" s="1" t="s">
        <v>15</v>
      </c>
      <c r="D7" s="1" t="s">
        <v>15</v>
      </c>
      <c r="E7" s="1" t="s">
        <v>99</v>
      </c>
      <c r="F7" s="9">
        <v>0</v>
      </c>
      <c r="G7" s="1" t="s">
        <v>112</v>
      </c>
      <c r="H7" s="1">
        <v>5562</v>
      </c>
      <c r="I7" s="1">
        <v>-626.48504400000002</v>
      </c>
      <c r="J7" s="1" t="s">
        <v>16</v>
      </c>
      <c r="K7" s="1" t="s">
        <v>25</v>
      </c>
      <c r="L7" s="1" t="s">
        <v>26</v>
      </c>
      <c r="M7" s="1" t="s">
        <v>15</v>
      </c>
      <c r="N7" s="1" t="s">
        <v>6</v>
      </c>
      <c r="O7" s="2">
        <f t="shared" si="0"/>
        <v>-110.52666666666666</v>
      </c>
      <c r="P7" s="2">
        <v>-110.527</v>
      </c>
      <c r="Q7" s="3">
        <v>-110.53</v>
      </c>
      <c r="R7" s="3">
        <v>-110.53</v>
      </c>
      <c r="S7" s="3">
        <v>-110.52</v>
      </c>
      <c r="V7" s="1">
        <v>-137.16300000000001</v>
      </c>
      <c r="W7" s="1">
        <v>197.65299999999999</v>
      </c>
      <c r="X7" s="1">
        <v>197.66</v>
      </c>
      <c r="Y7" s="1">
        <v>197.66</v>
      </c>
      <c r="Z7" s="1">
        <v>-113.81</v>
      </c>
      <c r="AA7" s="1">
        <v>8.67</v>
      </c>
      <c r="AB7" s="1">
        <v>29.14</v>
      </c>
      <c r="AE7" s="1">
        <v>1071.5999999999999</v>
      </c>
    </row>
    <row r="8" spans="1:31" x14ac:dyDescent="0.2">
      <c r="A8" s="1" t="s">
        <v>5</v>
      </c>
      <c r="B8" s="1" t="s">
        <v>6</v>
      </c>
      <c r="C8" s="1" t="s">
        <v>17</v>
      </c>
      <c r="D8" s="1" t="s">
        <v>17</v>
      </c>
      <c r="E8" s="1" t="s">
        <v>100</v>
      </c>
      <c r="F8" s="1">
        <v>0</v>
      </c>
      <c r="G8" s="1" t="s">
        <v>15</v>
      </c>
      <c r="H8" s="1">
        <v>6079</v>
      </c>
      <c r="I8" s="1">
        <v>-693.71559200000002</v>
      </c>
      <c r="J8" s="1" t="s">
        <v>18</v>
      </c>
      <c r="K8" s="1" t="s">
        <v>25</v>
      </c>
      <c r="L8" s="1" t="s">
        <v>26</v>
      </c>
      <c r="N8" s="1" t="s">
        <v>54</v>
      </c>
      <c r="O8" s="2">
        <f>R8</f>
        <v>-201</v>
      </c>
      <c r="P8" s="2" t="s">
        <v>5</v>
      </c>
      <c r="Q8" s="4">
        <v>-238.4</v>
      </c>
      <c r="R8" s="5">
        <v>-201</v>
      </c>
      <c r="S8" s="4">
        <v>-238.61</v>
      </c>
      <c r="T8" s="2">
        <f>R8-S8</f>
        <v>37.610000000000014</v>
      </c>
      <c r="U8" s="2">
        <f>T8/96.485</f>
        <v>0.389801523552884</v>
      </c>
      <c r="V8" s="1" t="s">
        <v>5</v>
      </c>
      <c r="W8" s="1" t="s">
        <v>5</v>
      </c>
      <c r="X8" s="1">
        <v>127.19</v>
      </c>
      <c r="Y8" s="1">
        <v>239.87</v>
      </c>
      <c r="AB8" s="1">
        <v>79.5</v>
      </c>
    </row>
    <row r="9" spans="1:31" x14ac:dyDescent="0.2">
      <c r="A9" s="1" t="s">
        <v>5</v>
      </c>
      <c r="B9" s="1" t="s">
        <v>6</v>
      </c>
      <c r="C9" s="1" t="s">
        <v>19</v>
      </c>
      <c r="D9" s="1" t="s">
        <v>19</v>
      </c>
      <c r="E9" s="1" t="s">
        <v>95</v>
      </c>
      <c r="F9" s="1">
        <v>2</v>
      </c>
      <c r="G9" s="1" t="s">
        <v>96</v>
      </c>
      <c r="H9" s="1">
        <v>101325</v>
      </c>
      <c r="I9" s="1">
        <v>-1090.6053159999999</v>
      </c>
      <c r="J9" s="1" t="s">
        <v>20</v>
      </c>
      <c r="K9" s="1" t="s">
        <v>25</v>
      </c>
      <c r="L9" s="1" t="s">
        <v>26</v>
      </c>
      <c r="M9" s="1" t="s">
        <v>19</v>
      </c>
      <c r="N9" s="1" t="s">
        <v>6</v>
      </c>
      <c r="O9" s="2">
        <f t="shared" si="0"/>
        <v>-393.50199999999995</v>
      </c>
      <c r="P9" s="2">
        <v>-393.52199999999999</v>
      </c>
      <c r="Q9" s="3">
        <v>-393.52</v>
      </c>
      <c r="R9" s="3">
        <v>-393.51</v>
      </c>
      <c r="S9" s="3">
        <v>-393.476</v>
      </c>
      <c r="V9" s="1">
        <v>-393.52199999999999</v>
      </c>
      <c r="W9" s="1">
        <v>-394.38900000000001</v>
      </c>
      <c r="X9" s="1">
        <v>213.79</v>
      </c>
      <c r="Y9" s="1">
        <v>213.79</v>
      </c>
      <c r="Z9" s="1">
        <v>-393.14</v>
      </c>
      <c r="AA9" s="1">
        <v>9.36</v>
      </c>
      <c r="AB9" s="1">
        <v>37.130000000000003</v>
      </c>
    </row>
    <row r="10" spans="1:31" x14ac:dyDescent="0.2">
      <c r="A10" s="1" t="s">
        <v>5</v>
      </c>
      <c r="B10" s="1" t="s">
        <v>6</v>
      </c>
      <c r="C10" s="1" t="s">
        <v>21</v>
      </c>
      <c r="D10" s="1" t="s">
        <v>21</v>
      </c>
      <c r="E10" s="1" t="s">
        <v>61</v>
      </c>
      <c r="F10" s="1">
        <v>1</v>
      </c>
      <c r="G10" s="1" t="s">
        <v>63</v>
      </c>
      <c r="H10" s="1">
        <v>2</v>
      </c>
      <c r="I10" s="1">
        <v>-1123.399942</v>
      </c>
      <c r="J10" s="1" t="s">
        <v>22</v>
      </c>
      <c r="K10" s="1" t="s">
        <v>25</v>
      </c>
      <c r="L10" s="1" t="s">
        <v>26</v>
      </c>
      <c r="M10" s="1" t="s">
        <v>57</v>
      </c>
      <c r="N10" s="1" t="s">
        <v>54</v>
      </c>
      <c r="O10" s="2">
        <f>R10</f>
        <v>-378.8</v>
      </c>
      <c r="P10" s="2" t="s">
        <v>5</v>
      </c>
      <c r="Q10" s="4">
        <v>-425.09</v>
      </c>
      <c r="R10" s="5">
        <v>-378.8</v>
      </c>
      <c r="S10" s="4">
        <v>-425.3</v>
      </c>
      <c r="T10" s="2">
        <f>Q10-R10</f>
        <v>-46.289999999999964</v>
      </c>
      <c r="U10" s="2">
        <f>T10/96.485</f>
        <v>-0.4797636938384201</v>
      </c>
      <c r="V10" s="1" t="s">
        <v>5</v>
      </c>
      <c r="W10" s="1" t="s">
        <v>5</v>
      </c>
      <c r="X10" s="1">
        <v>131.84</v>
      </c>
      <c r="Y10" s="1">
        <v>248.87</v>
      </c>
      <c r="Z10" s="1">
        <v>-371.51</v>
      </c>
      <c r="AA10" s="1">
        <v>10.9</v>
      </c>
      <c r="AB10" s="1">
        <v>45.8</v>
      </c>
    </row>
    <row r="11" spans="1:31" x14ac:dyDescent="0.2">
      <c r="A11" s="1" t="s">
        <v>5</v>
      </c>
      <c r="B11" s="1" t="s">
        <v>6</v>
      </c>
      <c r="C11" s="1" t="s">
        <v>35</v>
      </c>
      <c r="D11" s="1" t="s">
        <v>35</v>
      </c>
      <c r="E11" s="1" t="s">
        <v>60</v>
      </c>
      <c r="F11" s="1">
        <v>0</v>
      </c>
      <c r="G11" s="1" t="s">
        <v>73</v>
      </c>
      <c r="I11" s="1">
        <v>-891.80653463229703</v>
      </c>
      <c r="J11" s="1" t="s">
        <v>34</v>
      </c>
      <c r="K11" s="1" t="s">
        <v>25</v>
      </c>
      <c r="L11" s="1" t="s">
        <v>26</v>
      </c>
      <c r="M11" s="1" t="s">
        <v>74</v>
      </c>
      <c r="N11" s="1" t="s">
        <v>54</v>
      </c>
      <c r="O11" s="2">
        <f>R11</f>
        <v>-234.8</v>
      </c>
      <c r="P11" s="2" t="s">
        <v>5</v>
      </c>
      <c r="Q11" s="4">
        <v>-276</v>
      </c>
      <c r="R11" s="5">
        <v>-234.8</v>
      </c>
      <c r="S11" s="4">
        <v>-277.5</v>
      </c>
      <c r="T11" s="2">
        <f>Q11-R11</f>
        <v>-41.199999999999989</v>
      </c>
      <c r="U11" s="2">
        <f>T11/96.485</f>
        <v>-0.42700937969632574</v>
      </c>
      <c r="V11" s="1" t="s">
        <v>5</v>
      </c>
      <c r="W11" s="1" t="s">
        <v>5</v>
      </c>
      <c r="X11" s="1">
        <v>159.86000000000001</v>
      </c>
      <c r="Y11" s="1">
        <v>281.62</v>
      </c>
    </row>
    <row r="12" spans="1:31" x14ac:dyDescent="0.2">
      <c r="A12" s="1" t="s">
        <v>5</v>
      </c>
      <c r="B12" s="1" t="s">
        <v>6</v>
      </c>
      <c r="C12" s="1" t="s">
        <v>36</v>
      </c>
      <c r="D12" s="1" t="s">
        <v>36</v>
      </c>
      <c r="E12" s="1" t="s">
        <v>65</v>
      </c>
      <c r="F12" s="1">
        <v>1</v>
      </c>
      <c r="G12" s="1" t="s">
        <v>72</v>
      </c>
      <c r="I12" s="1">
        <v>-1320.99552950371</v>
      </c>
      <c r="J12" s="1" t="s">
        <v>37</v>
      </c>
      <c r="K12" s="1" t="s">
        <v>25</v>
      </c>
      <c r="L12" s="1" t="s">
        <v>26</v>
      </c>
      <c r="N12" s="1" t="s">
        <v>6</v>
      </c>
      <c r="O12" s="2">
        <f>AVERAGE(R12:S12)</f>
        <v>-356.20499999999998</v>
      </c>
      <c r="P12" s="2" t="s">
        <v>5</v>
      </c>
      <c r="Q12" s="6">
        <v>-336.9</v>
      </c>
      <c r="R12" s="7">
        <v>-352.4</v>
      </c>
      <c r="S12" s="8">
        <v>-360.01</v>
      </c>
      <c r="T12" s="2">
        <f>Q12-R12</f>
        <v>15.5</v>
      </c>
      <c r="U12" s="2">
        <f>T12/96.485</f>
        <v>0.16064673265274396</v>
      </c>
      <c r="V12" s="1" t="s">
        <v>5</v>
      </c>
      <c r="W12" s="1" t="s">
        <v>5</v>
      </c>
      <c r="X12" s="1">
        <v>131.84</v>
      </c>
      <c r="Y12" s="1">
        <v>285.3</v>
      </c>
    </row>
    <row r="13" spans="1:31" x14ac:dyDescent="0.2">
      <c r="A13" s="1" t="s">
        <v>5</v>
      </c>
      <c r="B13" s="1" t="s">
        <v>6</v>
      </c>
      <c r="C13" s="1" t="s">
        <v>38</v>
      </c>
      <c r="D13" s="1" t="s">
        <v>38</v>
      </c>
      <c r="E13" s="1" t="s">
        <v>64</v>
      </c>
      <c r="F13" s="1">
        <v>0</v>
      </c>
      <c r="G13" s="1" t="s">
        <v>71</v>
      </c>
      <c r="I13" s="1">
        <v>-627.43060882496297</v>
      </c>
      <c r="J13" s="1" t="s">
        <v>39</v>
      </c>
      <c r="K13" s="1" t="s">
        <v>25</v>
      </c>
      <c r="L13" s="1" t="s">
        <v>26</v>
      </c>
      <c r="N13" s="1" t="s">
        <v>6</v>
      </c>
      <c r="O13" s="2">
        <f t="shared" si="0"/>
        <v>-104.79666666666667</v>
      </c>
      <c r="P13" s="2" t="s">
        <v>5</v>
      </c>
      <c r="Q13" s="3">
        <v>-104.7</v>
      </c>
      <c r="R13" s="3">
        <v>-104.7</v>
      </c>
      <c r="S13" s="3">
        <v>-104.99</v>
      </c>
      <c r="V13" s="1" t="s">
        <v>5</v>
      </c>
      <c r="W13" s="1" t="s">
        <v>5</v>
      </c>
      <c r="X13" s="1" t="s">
        <v>5</v>
      </c>
      <c r="Y13" s="1">
        <v>270.31</v>
      </c>
    </row>
    <row r="14" spans="1:31" x14ac:dyDescent="0.2">
      <c r="A14" s="1" t="s">
        <v>5</v>
      </c>
      <c r="B14" s="1" t="s">
        <v>6</v>
      </c>
      <c r="C14" s="1" t="s">
        <v>40</v>
      </c>
      <c r="D14" s="1" t="s">
        <v>40</v>
      </c>
      <c r="E14" s="1" t="s">
        <v>66</v>
      </c>
      <c r="F14" s="9">
        <v>1</v>
      </c>
      <c r="G14" s="1" t="s">
        <v>70</v>
      </c>
      <c r="I14" s="1">
        <f>-1321.668557</f>
        <v>-1321.668557</v>
      </c>
      <c r="J14" s="1" t="s">
        <v>41</v>
      </c>
      <c r="K14" s="1" t="s">
        <v>25</v>
      </c>
      <c r="L14" s="1" t="s">
        <v>26</v>
      </c>
      <c r="N14" s="1" t="s">
        <v>6</v>
      </c>
      <c r="O14" s="2">
        <f>R14</f>
        <v>-432.3</v>
      </c>
      <c r="P14" s="2" t="s">
        <v>5</v>
      </c>
      <c r="Q14" s="4">
        <v>-483.52</v>
      </c>
      <c r="R14" s="5">
        <v>-432.3</v>
      </c>
      <c r="S14" s="4">
        <v>-484.66</v>
      </c>
      <c r="T14" s="2">
        <f>R14-S14</f>
        <v>52.360000000000014</v>
      </c>
      <c r="U14" s="2">
        <f>T14/96.485</f>
        <v>0.54267502720630167</v>
      </c>
      <c r="V14" s="1" t="s">
        <v>5</v>
      </c>
      <c r="W14" s="1" t="s">
        <v>5</v>
      </c>
      <c r="X14" s="1">
        <v>158</v>
      </c>
      <c r="Y14" s="1">
        <v>283.47000000000003</v>
      </c>
    </row>
    <row r="15" spans="1:31" x14ac:dyDescent="0.2">
      <c r="A15" s="1" t="s">
        <v>5</v>
      </c>
      <c r="B15" s="1" t="s">
        <v>6</v>
      </c>
      <c r="C15" s="1" t="s">
        <v>44</v>
      </c>
      <c r="D15" s="1" t="s">
        <v>44</v>
      </c>
      <c r="E15" s="1" t="s">
        <v>44</v>
      </c>
      <c r="F15" s="1">
        <v>0</v>
      </c>
      <c r="G15" s="1" t="s">
        <v>69</v>
      </c>
      <c r="I15" s="1">
        <v>-756.91664024371096</v>
      </c>
      <c r="J15" s="1" t="s">
        <v>45</v>
      </c>
      <c r="K15" s="1" t="s">
        <v>25</v>
      </c>
      <c r="L15" s="1" t="s">
        <v>26</v>
      </c>
      <c r="M15" s="1" t="s">
        <v>68</v>
      </c>
      <c r="N15" s="1" t="s">
        <v>6</v>
      </c>
      <c r="O15" s="2">
        <f t="shared" si="0"/>
        <v>109.68666666666667</v>
      </c>
      <c r="P15" s="2" t="s">
        <v>5</v>
      </c>
      <c r="Q15" s="3">
        <v>108.8</v>
      </c>
      <c r="R15" s="3">
        <v>109.2</v>
      </c>
      <c r="S15" s="3">
        <v>111.06</v>
      </c>
      <c r="V15" s="1" t="s">
        <v>5</v>
      </c>
      <c r="W15" s="1" t="s">
        <v>5</v>
      </c>
      <c r="X15" s="1" t="s">
        <v>5</v>
      </c>
      <c r="Y15" s="1">
        <v>278.77999999999997</v>
      </c>
    </row>
    <row r="16" spans="1:31" x14ac:dyDescent="0.2">
      <c r="A16" s="1" t="s">
        <v>5</v>
      </c>
      <c r="B16" s="1" t="s">
        <v>6</v>
      </c>
      <c r="C16" s="1" t="s">
        <v>47</v>
      </c>
      <c r="D16" s="1" t="s">
        <v>48</v>
      </c>
      <c r="E16" s="1" t="s">
        <v>46</v>
      </c>
      <c r="F16" s="1">
        <v>1</v>
      </c>
      <c r="G16" s="1" t="s">
        <v>67</v>
      </c>
      <c r="H16" s="1">
        <v>101325</v>
      </c>
      <c r="I16" s="1">
        <v>-659.75177156961399</v>
      </c>
      <c r="J16" s="1" t="s">
        <v>50</v>
      </c>
      <c r="K16" s="1" t="s">
        <v>25</v>
      </c>
      <c r="L16" s="1" t="s">
        <v>26</v>
      </c>
      <c r="M16" s="1" t="s">
        <v>47</v>
      </c>
      <c r="N16" s="1" t="s">
        <v>6</v>
      </c>
      <c r="O16" s="2">
        <f>Q16</f>
        <v>-115.9</v>
      </c>
      <c r="P16" s="6">
        <v>-115.89700000000001</v>
      </c>
      <c r="Q16" s="6">
        <v>-115.9</v>
      </c>
      <c r="R16" s="8">
        <v>-108.7</v>
      </c>
      <c r="S16" s="8">
        <v>-109.232</v>
      </c>
      <c r="T16" s="2">
        <f>Q16-R16</f>
        <v>-7.2000000000000028</v>
      </c>
      <c r="U16" s="2">
        <f>T16/96.485</f>
        <v>-7.4622998393532702E-2</v>
      </c>
      <c r="V16" s="1">
        <v>-109.92100000000001</v>
      </c>
      <c r="W16" s="1">
        <v>218.95</v>
      </c>
      <c r="X16" s="1">
        <v>218.95</v>
      </c>
      <c r="Y16" s="1">
        <v>218.76</v>
      </c>
      <c r="Z16" s="1">
        <v>52.466999999999999</v>
      </c>
    </row>
    <row r="17" spans="1:25" x14ac:dyDescent="0.2">
      <c r="A17" s="1" t="s">
        <v>5</v>
      </c>
      <c r="B17" s="1" t="s">
        <v>6</v>
      </c>
      <c r="C17" s="1" t="s">
        <v>79</v>
      </c>
      <c r="D17" s="1" t="s">
        <v>79</v>
      </c>
      <c r="E17" s="1" t="s">
        <v>76</v>
      </c>
      <c r="F17" s="1">
        <v>0</v>
      </c>
      <c r="G17" s="1" t="s">
        <v>113</v>
      </c>
      <c r="I17" s="1">
        <v>-429.46348305131801</v>
      </c>
      <c r="J17" s="1" t="s">
        <v>108</v>
      </c>
      <c r="K17" s="1" t="s">
        <v>25</v>
      </c>
      <c r="L17" s="1" t="s">
        <v>26</v>
      </c>
      <c r="N17" s="1" t="s">
        <v>6</v>
      </c>
      <c r="O17" s="2">
        <f>AVERAGE(Q17:S17)</f>
        <v>-84.00333333333333</v>
      </c>
      <c r="P17" s="2" t="s">
        <v>5</v>
      </c>
      <c r="Q17" s="3">
        <v>-84</v>
      </c>
      <c r="R17" s="3">
        <v>-84</v>
      </c>
      <c r="S17" s="3">
        <v>-84.01</v>
      </c>
      <c r="V17" s="1" t="str">
        <f>P17</f>
        <v>None</v>
      </c>
      <c r="W17" s="1" t="str">
        <f>P17</f>
        <v>None</v>
      </c>
      <c r="X17" s="1" t="str">
        <f>P17</f>
        <v>None</v>
      </c>
      <c r="Y17" s="1">
        <v>229.16</v>
      </c>
    </row>
    <row r="18" spans="1:25" x14ac:dyDescent="0.2">
      <c r="A18" s="1" t="s">
        <v>5</v>
      </c>
      <c r="B18" s="1" t="s">
        <v>6</v>
      </c>
      <c r="C18" s="1" t="s">
        <v>80</v>
      </c>
      <c r="D18" s="1" t="s">
        <v>5</v>
      </c>
      <c r="E18" s="1" t="s">
        <v>86</v>
      </c>
      <c r="F18" s="10">
        <v>2</v>
      </c>
      <c r="G18" s="1" t="s">
        <v>94</v>
      </c>
      <c r="I18" s="1">
        <v>-1286.4311889999999</v>
      </c>
      <c r="J18" s="1" t="s">
        <v>116</v>
      </c>
      <c r="K18" s="1" t="s">
        <v>25</v>
      </c>
      <c r="L18" s="1" t="s">
        <v>26</v>
      </c>
      <c r="M18" s="1" t="s">
        <v>85</v>
      </c>
      <c r="N18" s="1" t="s">
        <v>6</v>
      </c>
      <c r="O18" s="2">
        <f t="shared" si="0"/>
        <v>-212.48000000000002</v>
      </c>
      <c r="P18" s="2" t="s">
        <v>5</v>
      </c>
      <c r="Q18" s="3">
        <v>-212</v>
      </c>
      <c r="R18" s="3">
        <v>-212</v>
      </c>
      <c r="S18" s="3">
        <v>-213.44</v>
      </c>
      <c r="V18" s="1" t="str">
        <f>P18</f>
        <v>None</v>
      </c>
      <c r="W18" s="1" t="str">
        <f t="shared" ref="W18:W19" si="2">P18</f>
        <v>None</v>
      </c>
      <c r="X18" s="1" t="str">
        <f t="shared" ref="X18:X19" si="3">P18</f>
        <v>None</v>
      </c>
      <c r="Y18" s="1">
        <v>272.44</v>
      </c>
    </row>
    <row r="19" spans="1:25" x14ac:dyDescent="0.2">
      <c r="A19" s="1" t="s">
        <v>5</v>
      </c>
      <c r="B19" s="1" t="s">
        <v>6</v>
      </c>
      <c r="C19" s="1" t="s">
        <v>81</v>
      </c>
      <c r="D19" s="1" t="s">
        <v>5</v>
      </c>
      <c r="E19" s="1" t="s">
        <v>87</v>
      </c>
      <c r="F19" s="10">
        <v>1</v>
      </c>
      <c r="G19" s="1" t="s">
        <v>88</v>
      </c>
      <c r="I19" s="1">
        <v>-1519.633466</v>
      </c>
      <c r="J19" s="1" t="s">
        <v>115</v>
      </c>
      <c r="K19" s="1" t="s">
        <v>25</v>
      </c>
      <c r="L19" s="1" t="s">
        <v>26</v>
      </c>
      <c r="N19" s="1" t="s">
        <v>6</v>
      </c>
      <c r="O19" s="2">
        <f t="shared" si="0"/>
        <v>-454.815</v>
      </c>
      <c r="P19" s="2" t="s">
        <v>5</v>
      </c>
      <c r="Q19" s="3">
        <v>-455.8</v>
      </c>
      <c r="R19" s="3" t="s">
        <v>5</v>
      </c>
      <c r="S19" s="3">
        <v>-453.83</v>
      </c>
      <c r="V19" s="1" t="str">
        <f>P19</f>
        <v>None</v>
      </c>
      <c r="W19" s="1" t="str">
        <f t="shared" si="2"/>
        <v>None</v>
      </c>
      <c r="X19" s="1" t="str">
        <f t="shared" si="3"/>
        <v>None</v>
      </c>
      <c r="Y19" s="1" t="s">
        <v>5</v>
      </c>
    </row>
    <row r="20" spans="1:25" x14ac:dyDescent="0.2">
      <c r="A20" s="1" t="s">
        <v>5</v>
      </c>
      <c r="B20" s="1" t="s">
        <v>6</v>
      </c>
      <c r="C20" s="1" t="s">
        <v>82</v>
      </c>
      <c r="D20" s="1" t="s">
        <v>5</v>
      </c>
      <c r="E20" s="1" t="s">
        <v>89</v>
      </c>
      <c r="F20" s="1">
        <v>1</v>
      </c>
      <c r="G20" s="1" t="s">
        <v>114</v>
      </c>
      <c r="M20" s="1" t="s">
        <v>59</v>
      </c>
      <c r="N20" s="1" t="s">
        <v>6</v>
      </c>
      <c r="O20" s="2">
        <f t="shared" si="0"/>
        <v>-410.61666666666662</v>
      </c>
      <c r="P20" s="2" t="s">
        <v>5</v>
      </c>
      <c r="Q20" s="3">
        <v>-410</v>
      </c>
      <c r="R20" s="3">
        <v>-408.8</v>
      </c>
      <c r="S20" s="3">
        <v>-413.05</v>
      </c>
      <c r="V20" s="1" t="str">
        <f t="shared" ref="V20:V22" si="4">P20</f>
        <v>None</v>
      </c>
      <c r="W20" s="1" t="str">
        <f t="shared" ref="W20:W22" si="5">P20</f>
        <v>None</v>
      </c>
      <c r="Y20" s="1">
        <v>321.2</v>
      </c>
    </row>
    <row r="21" spans="1:25" x14ac:dyDescent="0.2">
      <c r="A21" s="1" t="s">
        <v>5</v>
      </c>
      <c r="B21" s="1" t="s">
        <v>6</v>
      </c>
      <c r="C21" s="1" t="s">
        <v>83</v>
      </c>
      <c r="D21" s="1" t="s">
        <v>83</v>
      </c>
      <c r="E21" s="1" t="s">
        <v>90</v>
      </c>
      <c r="F21" s="1">
        <v>0</v>
      </c>
      <c r="G21" s="1" t="s">
        <v>93</v>
      </c>
      <c r="N21" s="1" t="s">
        <v>6</v>
      </c>
      <c r="O21" s="2">
        <f t="shared" si="0"/>
        <v>-184.07000000000002</v>
      </c>
      <c r="P21" s="2" t="s">
        <v>5</v>
      </c>
      <c r="Q21" s="3">
        <v>-184.1</v>
      </c>
      <c r="R21" s="3">
        <v>-184.1</v>
      </c>
      <c r="S21" s="3">
        <v>-184.01</v>
      </c>
      <c r="V21" s="1" t="str">
        <f t="shared" si="4"/>
        <v>None</v>
      </c>
      <c r="W21" s="1" t="str">
        <f t="shared" si="5"/>
        <v>None</v>
      </c>
      <c r="X21" s="1" t="s">
        <v>5</v>
      </c>
      <c r="Y21" s="1">
        <v>267.33999999999997</v>
      </c>
    </row>
    <row r="22" spans="1:25" ht="17" customHeight="1" x14ac:dyDescent="0.2">
      <c r="A22" s="1" t="s">
        <v>5</v>
      </c>
      <c r="B22" s="1" t="s">
        <v>6</v>
      </c>
      <c r="C22" s="1" t="s">
        <v>84</v>
      </c>
      <c r="D22" s="1" t="s">
        <v>84</v>
      </c>
      <c r="E22" s="1" t="s">
        <v>91</v>
      </c>
      <c r="F22" s="1">
        <v>1</v>
      </c>
      <c r="G22" s="1" t="s">
        <v>92</v>
      </c>
      <c r="N22" s="1" t="s">
        <v>54</v>
      </c>
      <c r="O22" s="2">
        <f>R22</f>
        <v>-170.7</v>
      </c>
      <c r="P22" s="2" t="s">
        <v>5</v>
      </c>
      <c r="Q22" s="3">
        <v>-196.4</v>
      </c>
      <c r="R22" s="5">
        <v>-170.7</v>
      </c>
      <c r="S22" s="3">
        <v>-191.75</v>
      </c>
      <c r="V22" s="1" t="str">
        <f t="shared" si="4"/>
        <v>None</v>
      </c>
      <c r="W22" s="1" t="str">
        <f t="shared" si="5"/>
        <v>None</v>
      </c>
      <c r="X22" s="1">
        <v>117.3</v>
      </c>
    </row>
  </sheetData>
  <conditionalFormatting sqref="P2:S21 P22:Q22 S22">
    <cfRule type="expression" dxfId="1" priority="1">
      <formula>$T2-1&lt;ROUND(P2,0) &lt;$T2+1</formula>
    </cfRule>
  </conditionalFormatting>
  <conditionalFormatting sqref="R22">
    <cfRule type="expression" dxfId="0" priority="6">
      <formula>#REF!-1&lt;ROUND(R22,0) &lt;#REF!+1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7561-8A34-C441-BAA2-5CF8936EAC18}">
  <dimension ref="A1:I22"/>
  <sheetViews>
    <sheetView tabSelected="1" workbookViewId="0">
      <selection activeCell="I10" sqref="I10"/>
    </sheetView>
  </sheetViews>
  <sheetFormatPr baseColWidth="10" defaultRowHeight="16" x14ac:dyDescent="0.2"/>
  <cols>
    <col min="5" max="9" width="10.8320312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119</v>
      </c>
      <c r="E1" s="1" t="s">
        <v>117</v>
      </c>
      <c r="F1" s="1" t="s">
        <v>3</v>
      </c>
      <c r="G1" s="1" t="s">
        <v>4</v>
      </c>
      <c r="H1" s="1" t="s">
        <v>42</v>
      </c>
      <c r="I1" s="1" t="s">
        <v>120</v>
      </c>
    </row>
    <row r="2" spans="1:9" x14ac:dyDescent="0.2">
      <c r="A2" s="1" t="s">
        <v>5</v>
      </c>
      <c r="B2" s="1" t="s">
        <v>6</v>
      </c>
      <c r="C2" s="1" t="s">
        <v>7</v>
      </c>
      <c r="D2" s="1" t="s">
        <v>6</v>
      </c>
      <c r="E2" s="1">
        <v>20467</v>
      </c>
      <c r="F2" s="1">
        <v>-231.57632699999999</v>
      </c>
      <c r="G2" s="1" t="s">
        <v>8</v>
      </c>
      <c r="H2" s="1">
        <v>0</v>
      </c>
      <c r="I2" s="1">
        <v>0</v>
      </c>
    </row>
    <row r="3" spans="1:9" x14ac:dyDescent="0.2">
      <c r="A3" s="1" t="s">
        <v>5</v>
      </c>
      <c r="B3" s="1" t="s">
        <v>6</v>
      </c>
      <c r="C3" s="1" t="s">
        <v>9</v>
      </c>
      <c r="D3" s="1" t="s">
        <v>6</v>
      </c>
      <c r="E3" s="1">
        <v>13942</v>
      </c>
      <c r="F3" s="1">
        <v>-394.99043399999999</v>
      </c>
      <c r="G3" s="1" t="s">
        <v>10</v>
      </c>
      <c r="H3" s="1">
        <v>0</v>
      </c>
      <c r="I3" s="1">
        <v>0</v>
      </c>
    </row>
    <row r="4" spans="1:9" x14ac:dyDescent="0.2">
      <c r="A4" s="1" t="s">
        <v>5</v>
      </c>
      <c r="B4" s="1" t="s">
        <v>6</v>
      </c>
      <c r="C4" s="1" t="s">
        <v>11</v>
      </c>
      <c r="D4" s="1" t="s">
        <v>6</v>
      </c>
      <c r="E4" s="1">
        <v>30296</v>
      </c>
      <c r="F4" s="1">
        <v>-32.942253628660097</v>
      </c>
      <c r="G4" s="1" t="s">
        <v>12</v>
      </c>
      <c r="H4" s="1">
        <v>0</v>
      </c>
      <c r="I4" s="1">
        <v>0.09</v>
      </c>
    </row>
    <row r="5" spans="1:9" x14ac:dyDescent="0.2">
      <c r="A5" s="1" t="s">
        <v>5</v>
      </c>
      <c r="B5" s="1" t="s">
        <v>6</v>
      </c>
      <c r="C5" s="1" t="s">
        <v>118</v>
      </c>
      <c r="D5" s="1" t="s">
        <v>6</v>
      </c>
      <c r="E5" s="1">
        <v>101325</v>
      </c>
      <c r="F5" s="1">
        <v>-32.942253628660097</v>
      </c>
      <c r="G5" s="1" t="s">
        <v>12</v>
      </c>
      <c r="H5" s="1">
        <v>0</v>
      </c>
      <c r="I5" s="1">
        <v>0.09</v>
      </c>
    </row>
    <row r="6" spans="1:9" x14ac:dyDescent="0.2">
      <c r="A6" s="1" t="s">
        <v>5</v>
      </c>
      <c r="B6" s="1" t="s">
        <v>6</v>
      </c>
      <c r="C6" s="1" t="s">
        <v>13</v>
      </c>
      <c r="D6" s="1" t="s">
        <v>54</v>
      </c>
      <c r="E6" s="1">
        <v>3534</v>
      </c>
      <c r="F6" s="1">
        <v>-496.27026660000001</v>
      </c>
      <c r="G6" s="1" t="s">
        <v>14</v>
      </c>
      <c r="H6" s="1">
        <v>0</v>
      </c>
      <c r="I6" s="1">
        <v>0</v>
      </c>
    </row>
    <row r="7" spans="1:9" x14ac:dyDescent="0.2">
      <c r="A7" s="1" t="s">
        <v>5</v>
      </c>
      <c r="B7" s="1" t="s">
        <v>6</v>
      </c>
      <c r="C7" s="1" t="s">
        <v>15</v>
      </c>
      <c r="D7" s="1" t="s">
        <v>6</v>
      </c>
      <c r="E7" s="1">
        <v>5562</v>
      </c>
      <c r="F7" s="1">
        <v>-626.48504400000002</v>
      </c>
      <c r="G7" s="1" t="s">
        <v>16</v>
      </c>
      <c r="H7" s="9">
        <v>0</v>
      </c>
      <c r="I7" s="1">
        <v>0</v>
      </c>
    </row>
    <row r="8" spans="1:9" x14ac:dyDescent="0.2">
      <c r="A8" s="1" t="s">
        <v>5</v>
      </c>
      <c r="B8" s="1" t="s">
        <v>6</v>
      </c>
      <c r="C8" s="1" t="s">
        <v>17</v>
      </c>
      <c r="D8" s="1" t="s">
        <v>54</v>
      </c>
      <c r="E8" s="1">
        <v>6079</v>
      </c>
      <c r="F8" s="1">
        <v>-693.71559200000002</v>
      </c>
      <c r="G8" s="1" t="s">
        <v>18</v>
      </c>
      <c r="H8" s="1">
        <v>0</v>
      </c>
      <c r="I8" s="1">
        <v>0</v>
      </c>
    </row>
    <row r="9" spans="1:9" x14ac:dyDescent="0.2">
      <c r="A9" s="1" t="s">
        <v>5</v>
      </c>
      <c r="B9" s="1" t="s">
        <v>6</v>
      </c>
      <c r="C9" s="1" t="s">
        <v>19</v>
      </c>
      <c r="D9" s="1" t="s">
        <v>6</v>
      </c>
      <c r="E9" s="1">
        <v>101325</v>
      </c>
      <c r="F9" s="1">
        <v>-1090.6053159999999</v>
      </c>
      <c r="G9" s="1" t="s">
        <v>20</v>
      </c>
      <c r="H9" s="1">
        <v>2</v>
      </c>
      <c r="I9" s="1">
        <v>0.4</v>
      </c>
    </row>
    <row r="10" spans="1:9" x14ac:dyDescent="0.2">
      <c r="A10" s="1" t="s">
        <v>5</v>
      </c>
      <c r="B10" s="1" t="s">
        <v>6</v>
      </c>
      <c r="C10" s="1" t="s">
        <v>21</v>
      </c>
      <c r="D10" s="1" t="s">
        <v>54</v>
      </c>
      <c r="E10" s="1">
        <v>2</v>
      </c>
      <c r="F10" s="1">
        <v>-1123.399942</v>
      </c>
      <c r="G10" s="1" t="s">
        <v>22</v>
      </c>
      <c r="H10" s="1">
        <v>1</v>
      </c>
      <c r="I10" s="1">
        <v>0.2</v>
      </c>
    </row>
    <row r="11" spans="1:9" x14ac:dyDescent="0.2">
      <c r="A11" s="1" t="s">
        <v>5</v>
      </c>
      <c r="B11" s="1" t="s">
        <v>6</v>
      </c>
      <c r="C11" s="1" t="s">
        <v>35</v>
      </c>
      <c r="D11" s="1" t="s">
        <v>54</v>
      </c>
      <c r="F11" s="1">
        <v>-891.80653463229703</v>
      </c>
      <c r="G11" s="1" t="s">
        <v>34</v>
      </c>
      <c r="H11" s="1">
        <v>0</v>
      </c>
      <c r="I11" s="1">
        <v>0</v>
      </c>
    </row>
    <row r="12" spans="1:9" x14ac:dyDescent="0.2">
      <c r="A12" s="1" t="s">
        <v>5</v>
      </c>
      <c r="B12" s="1" t="s">
        <v>6</v>
      </c>
      <c r="C12" s="1" t="s">
        <v>36</v>
      </c>
      <c r="D12" s="1" t="s">
        <v>6</v>
      </c>
      <c r="F12" s="1">
        <v>-1320.99552950371</v>
      </c>
      <c r="G12" s="1" t="s">
        <v>37</v>
      </c>
      <c r="H12" s="1">
        <v>1</v>
      </c>
      <c r="I12" s="1">
        <v>0.2</v>
      </c>
    </row>
    <row r="13" spans="1:9" x14ac:dyDescent="0.2">
      <c r="A13" s="1" t="s">
        <v>5</v>
      </c>
      <c r="B13" s="1" t="s">
        <v>6</v>
      </c>
      <c r="C13" s="1" t="s">
        <v>38</v>
      </c>
      <c r="D13" s="1" t="s">
        <v>6</v>
      </c>
      <c r="F13" s="1">
        <v>-627.43060882496297</v>
      </c>
      <c r="G13" s="1" t="s">
        <v>39</v>
      </c>
      <c r="H13" s="1">
        <v>0</v>
      </c>
      <c r="I13" s="1">
        <v>0</v>
      </c>
    </row>
    <row r="14" spans="1:9" x14ac:dyDescent="0.2">
      <c r="A14" s="1" t="s">
        <v>5</v>
      </c>
      <c r="B14" s="1" t="s">
        <v>6</v>
      </c>
      <c r="C14" s="1" t="s">
        <v>40</v>
      </c>
      <c r="D14" s="1" t="s">
        <v>6</v>
      </c>
      <c r="F14" s="1">
        <f>-1321.668557</f>
        <v>-1321.668557</v>
      </c>
      <c r="G14" s="1" t="s">
        <v>41</v>
      </c>
      <c r="H14" s="9">
        <v>1</v>
      </c>
      <c r="I14" s="1">
        <v>0.2</v>
      </c>
    </row>
    <row r="15" spans="1:9" x14ac:dyDescent="0.2">
      <c r="A15" s="1" t="s">
        <v>5</v>
      </c>
      <c r="B15" s="1" t="s">
        <v>6</v>
      </c>
      <c r="C15" s="1" t="s">
        <v>44</v>
      </c>
      <c r="D15" s="1" t="s">
        <v>6</v>
      </c>
      <c r="F15" s="1">
        <v>-756.91664024371096</v>
      </c>
      <c r="G15" s="1" t="s">
        <v>45</v>
      </c>
      <c r="H15" s="1">
        <v>0</v>
      </c>
      <c r="I15" s="1">
        <v>0</v>
      </c>
    </row>
    <row r="16" spans="1:9" x14ac:dyDescent="0.2">
      <c r="A16" s="1" t="s">
        <v>5</v>
      </c>
      <c r="B16" s="1" t="s">
        <v>6</v>
      </c>
      <c r="C16" s="1" t="s">
        <v>47</v>
      </c>
      <c r="D16" s="1" t="s">
        <v>6</v>
      </c>
      <c r="E16" s="1">
        <v>101325</v>
      </c>
      <c r="F16" s="1">
        <v>-659.75177156961399</v>
      </c>
      <c r="G16" s="1" t="s">
        <v>50</v>
      </c>
      <c r="H16" s="1">
        <v>1</v>
      </c>
      <c r="I16" s="1">
        <v>0.2</v>
      </c>
    </row>
    <row r="17" spans="1:9" x14ac:dyDescent="0.2">
      <c r="A17" s="1" t="s">
        <v>5</v>
      </c>
      <c r="B17" s="1" t="s">
        <v>6</v>
      </c>
      <c r="C17" s="1" t="s">
        <v>79</v>
      </c>
      <c r="D17" s="1" t="s">
        <v>6</v>
      </c>
      <c r="F17" s="1">
        <v>-429.46348305131801</v>
      </c>
      <c r="G17" s="1" t="s">
        <v>108</v>
      </c>
      <c r="H17" s="1">
        <v>0</v>
      </c>
      <c r="I17" s="1">
        <v>0</v>
      </c>
    </row>
    <row r="18" spans="1:9" x14ac:dyDescent="0.2">
      <c r="A18" s="1" t="s">
        <v>5</v>
      </c>
      <c r="B18" s="1" t="s">
        <v>6</v>
      </c>
      <c r="C18" s="1" t="s">
        <v>80</v>
      </c>
      <c r="D18" s="1" t="s">
        <v>6</v>
      </c>
      <c r="F18" s="1">
        <v>-1286.4311889999999</v>
      </c>
      <c r="G18" s="1" t="s">
        <v>116</v>
      </c>
      <c r="H18" s="10">
        <v>2</v>
      </c>
      <c r="I18" s="1">
        <v>0.4</v>
      </c>
    </row>
    <row r="19" spans="1:9" x14ac:dyDescent="0.2">
      <c r="A19" s="1" t="s">
        <v>5</v>
      </c>
      <c r="B19" s="1" t="s">
        <v>6</v>
      </c>
      <c r="C19" s="1" t="s">
        <v>81</v>
      </c>
      <c r="D19" s="1" t="s">
        <v>6</v>
      </c>
      <c r="F19" s="1">
        <v>-1519.633466</v>
      </c>
      <c r="G19" s="1" t="s">
        <v>115</v>
      </c>
      <c r="H19" s="10">
        <v>1</v>
      </c>
      <c r="I19" s="1">
        <v>0.2</v>
      </c>
    </row>
    <row r="20" spans="1:9" x14ac:dyDescent="0.2">
      <c r="A20" s="1" t="s">
        <v>5</v>
      </c>
      <c r="B20" s="1" t="s">
        <v>6</v>
      </c>
      <c r="C20" s="1" t="s">
        <v>82</v>
      </c>
      <c r="D20" s="1" t="s">
        <v>6</v>
      </c>
      <c r="H20" s="1">
        <v>1</v>
      </c>
      <c r="I20" s="1">
        <v>0.2</v>
      </c>
    </row>
    <row r="21" spans="1:9" x14ac:dyDescent="0.2">
      <c r="A21" s="1" t="s">
        <v>5</v>
      </c>
      <c r="B21" s="1" t="s">
        <v>6</v>
      </c>
      <c r="C21" s="1" t="s">
        <v>83</v>
      </c>
      <c r="D21" s="1" t="s">
        <v>6</v>
      </c>
      <c r="H21" s="1">
        <v>0</v>
      </c>
      <c r="I21" s="1">
        <v>0</v>
      </c>
    </row>
    <row r="22" spans="1:9" x14ac:dyDescent="0.2">
      <c r="A22" s="1" t="s">
        <v>5</v>
      </c>
      <c r="B22" s="1" t="s">
        <v>6</v>
      </c>
      <c r="C22" s="1" t="s">
        <v>84</v>
      </c>
      <c r="D22" s="1" t="s">
        <v>54</v>
      </c>
      <c r="H22" s="1">
        <v>1</v>
      </c>
      <c r="I22" s="1">
        <v>0.2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BEEF-vdW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 Cho</dc:creator>
  <cp:lastModifiedBy>Ara Cho</cp:lastModifiedBy>
  <dcterms:created xsi:type="dcterms:W3CDTF">2024-04-18T17:53:58Z</dcterms:created>
  <dcterms:modified xsi:type="dcterms:W3CDTF">2026-02-05T13:56:53Z</dcterms:modified>
</cp:coreProperties>
</file>